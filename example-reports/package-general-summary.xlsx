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37C180E9-C889-4F7F-843C-3C40D3D482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925 BOL" sheetId="1" r:id="rId1"/>
  </sheets>
  <definedNames>
    <definedName name="_xlnm.Print_Area" localSheetId="0">'925 BOL'!$A$1:$K$40</definedName>
    <definedName name="_xlnm.Print_Titles" localSheetId="0">'925 BOL'!#REF!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4" i="1" l="1"/>
  <c r="I34" i="1" s="1"/>
  <c r="G29" i="1"/>
  <c r="I29" i="1" s="1"/>
  <c r="G21" i="1"/>
  <c r="G11" i="1"/>
  <c r="G36" i="1"/>
  <c r="I36" i="1"/>
  <c r="G37" i="1"/>
  <c r="I37" i="1"/>
  <c r="G35" i="1"/>
  <c r="I35" i="1"/>
  <c r="G33" i="1"/>
  <c r="I33" i="1"/>
  <c r="I32" i="1"/>
  <c r="G31" i="1"/>
  <c r="I31" i="1" s="1"/>
  <c r="G30" i="1"/>
  <c r="I30" i="1"/>
  <c r="I11" i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I18" i="1"/>
  <c r="G19" i="1"/>
  <c r="I19" i="1" s="1"/>
  <c r="G20" i="1"/>
  <c r="I20" i="1" s="1"/>
  <c r="I21" i="1"/>
  <c r="G22" i="1"/>
  <c r="I22" i="1" s="1"/>
  <c r="I23" i="1"/>
  <c r="I24" i="1"/>
  <c r="G25" i="1"/>
  <c r="I25" i="1" s="1"/>
  <c r="I26" i="1"/>
  <c r="G27" i="1"/>
  <c r="I27" i="1" s="1"/>
  <c r="I28" i="1"/>
  <c r="D38" i="1"/>
  <c r="E38" i="1"/>
  <c r="G10" i="1"/>
  <c r="I10" i="1" s="1"/>
  <c r="I38" i="1" l="1"/>
</calcChain>
</file>

<file path=xl/sharedStrings.xml><?xml version="1.0" encoding="utf-8"?>
<sst xmlns="http://schemas.openxmlformats.org/spreadsheetml/2006/main" count="69" uniqueCount="59">
  <si>
    <t>DEPARTURE POL</t>
  </si>
  <si>
    <t>CLIENT</t>
  </si>
  <si>
    <t>CBM (mᶟ)</t>
  </si>
  <si>
    <t>WEIGHT(T)</t>
  </si>
  <si>
    <t>PRICE  PER (CFA)</t>
  </si>
  <si>
    <t>TOTAL PRICE</t>
  </si>
  <si>
    <t>TOTAL</t>
  </si>
  <si>
    <t>NO.</t>
  </si>
  <si>
    <t>REMARK</t>
  </si>
  <si>
    <t xml:space="preserve">DEPARTURE EXW  </t>
  </si>
  <si>
    <t>ARRIVAL POD</t>
  </si>
  <si>
    <t>Total Number of Packages</t>
  </si>
  <si>
    <t>FEES</t>
  </si>
  <si>
    <t>PRICE</t>
  </si>
  <si>
    <t>REGULAR CUSTOMER</t>
  </si>
  <si>
    <t xml:space="preserve"> PACKAGES</t>
  </si>
  <si>
    <t>CONTAINER : TIIU6591456</t>
  </si>
  <si>
    <t>CONTAINER    C91456</t>
  </si>
  <si>
    <t>:Tue.4,Nov.2025</t>
  </si>
  <si>
    <t>:Tue.19,Aug.2025</t>
  </si>
  <si>
    <t>:Tue.26,Aug.2025</t>
  </si>
  <si>
    <t xml:space="preserve">BL NO </t>
  </si>
  <si>
    <t>BRT0299089</t>
  </si>
  <si>
    <t>ALI FARHAT</t>
  </si>
  <si>
    <t>FOUAD HAREB</t>
  </si>
  <si>
    <t>NADIM NOUREDINE</t>
  </si>
  <si>
    <t>ROUKOZ GHAWI</t>
  </si>
  <si>
    <t>MAHER ZAWIL</t>
  </si>
  <si>
    <t>HUSSEIN ABDALLA</t>
  </si>
  <si>
    <t>JACK DOMYAN</t>
  </si>
  <si>
    <t>JAMAL JABER</t>
  </si>
  <si>
    <t>MOHAMAD DAHER</t>
  </si>
  <si>
    <t>MOHAMAD AMMAR</t>
  </si>
  <si>
    <t>GHASSAN GHANDOUR</t>
  </si>
  <si>
    <t>MOHAMAD NASSAR</t>
  </si>
  <si>
    <t>AMIR CHMAYSANI</t>
  </si>
  <si>
    <t>HASSAN AWDE</t>
  </si>
  <si>
    <t>HASSAN ISMAIL</t>
  </si>
  <si>
    <t>GHAZI BDEIR</t>
  </si>
  <si>
    <t>JAMAL HOUBBALLAH</t>
  </si>
  <si>
    <t>ZEIN HRAYBI ZAYOUN</t>
  </si>
  <si>
    <t>HASSAN CHAAYTO</t>
  </si>
  <si>
    <t>HAMZA HAYDAR</t>
  </si>
  <si>
    <t>GHASSAN KHADRA</t>
  </si>
  <si>
    <t>MOHAMAD HAREB</t>
  </si>
  <si>
    <t>YOUSSEF MANSOUR</t>
  </si>
  <si>
    <t>MOHAMAD BITAR</t>
  </si>
  <si>
    <t>ABBASS HIJAZI</t>
  </si>
  <si>
    <t>RACHID JABER</t>
  </si>
  <si>
    <t>IMAD NASSAR</t>
  </si>
  <si>
    <t>PAID IN 825</t>
  </si>
  <si>
    <t>CBM &lt;0.5 mᶟ , FREIGHT = 120,000 CFA</t>
  </si>
  <si>
    <t>ALI RAMEZ GHANDOUR</t>
  </si>
  <si>
    <t>2mᶟ PLASTIC CUPS (x200,000 CFA) +2mᶟ OTHER STUFF(x250000 CFA)  REGULAR CUSTOMER</t>
  </si>
  <si>
    <t>INCLUDING 70,000 CFA CUSTOMS DECLARATION PORT BEYRUTH</t>
  </si>
  <si>
    <t>HIGH CBM \ 1mᶟ = 250,000 CFA</t>
  </si>
  <si>
    <t>REGULAR CUSTOMER&amp; HIGH CBM</t>
  </si>
  <si>
    <t>FOR FREE\ LOW CBM &amp; WEIGHT \ REGULAR CUSTOMER</t>
  </si>
  <si>
    <t>19&amp;22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</si>
</sst>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[$-F800]dddd\,\ mmmm\ dd\,\ yyyy"/>
  </numFmts>
  <fonts count="26" x14ac:knownFonts="1">
    <font>
      <sz val="10"/>
      <name val="Arial"/>
    </font>
    <font>
      <sz val="11"/>
      <color theme="1"/>
      <name val="Century Gothic"/>
      <family val="2"/>
      <scheme val="minor"/>
    </font>
    <font>
      <sz val="8"/>
      <name val="Arial"/>
      <family val="2"/>
    </font>
    <font>
      <sz val="10"/>
      <color theme="1" tint="0.249977111117893"/>
      <name val="Century Gothic"/>
      <family val="1"/>
      <scheme val="minor"/>
    </font>
    <font>
      <b/>
      <sz val="48"/>
      <color theme="6"/>
      <name val="Century Gothic"/>
      <family val="2"/>
      <scheme val="major"/>
    </font>
    <font>
      <sz val="9"/>
      <color theme="3"/>
      <name val="Century Gothic"/>
      <family val="2"/>
      <scheme val="minor"/>
    </font>
    <font>
      <b/>
      <sz val="10"/>
      <color theme="0"/>
      <name val="Century Gothic"/>
      <family val="2"/>
      <scheme val="major"/>
    </font>
    <font>
      <b/>
      <sz val="10"/>
      <color theme="6"/>
      <name val="Century Gothic"/>
      <family val="1"/>
      <scheme val="minor"/>
    </font>
    <font>
      <b/>
      <sz val="12"/>
      <color theme="6"/>
      <name val="Century Gothic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Century Gothic"/>
      <family val="2"/>
      <scheme val="minor"/>
    </font>
    <font>
      <sz val="11"/>
      <color theme="1" tint="0.249977111117893"/>
      <name val="Century Gothic"/>
      <family val="2"/>
      <scheme val="minor"/>
    </font>
    <font>
      <sz val="10"/>
      <name val="Arial"/>
      <family val="2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0"/>
      <color rgb="FF002060"/>
      <name val="Century Gothic"/>
      <family val="2"/>
      <scheme val="minor"/>
    </font>
    <font>
      <b/>
      <sz val="10"/>
      <color rgb="FF9C0006"/>
      <name val="Century Gothic"/>
      <family val="2"/>
      <scheme val="minor"/>
    </font>
    <font>
      <b/>
      <sz val="10"/>
      <color rgb="FFFF0000"/>
      <name val="Century Gothic"/>
      <family val="2"/>
      <scheme val="minor"/>
    </font>
    <font>
      <b/>
      <sz val="10"/>
      <color rgb="FF006100"/>
      <name val="Century Gothic"/>
      <family val="2"/>
      <scheme val="minor"/>
    </font>
    <font>
      <b/>
      <sz val="10"/>
      <name val="Century Gothic"/>
      <family val="2"/>
      <scheme val="minor"/>
    </font>
    <font>
      <sz val="10"/>
      <name val="Century Gothic"/>
      <family val="2"/>
      <scheme val="minor"/>
    </font>
    <font>
      <b/>
      <sz val="11"/>
      <color rgb="FF9C0006"/>
      <name val="Century Gothic"/>
      <family val="2"/>
      <scheme val="minor"/>
    </font>
    <font>
      <b/>
      <sz val="5"/>
      <name val="Century Gothic"/>
      <family val="2"/>
      <scheme val="minor"/>
    </font>
    <font>
      <b/>
      <sz val="5"/>
      <color rgb="FF006100"/>
      <name val="Century Gothic"/>
      <family val="2"/>
      <scheme val="minor"/>
    </font>
    <font>
      <b/>
      <sz val="5"/>
      <color rgb="FFFF0000"/>
      <name val="Century Gothic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5" fillId="0" borderId="0" applyNumberFormat="0" applyFill="0" applyBorder="0" applyAlignment="0" applyProtection="0"/>
    <xf numFmtId="0" fontId="4" fillId="0" borderId="0">
      <alignment horizontal="right" vertical="center"/>
    </xf>
    <xf numFmtId="0" fontId="8" fillId="0" borderId="0" applyFill="0" applyBorder="0" applyAlignment="0" applyProtection="0"/>
    <xf numFmtId="0" fontId="7" fillId="0" borderId="0">
      <alignment horizontal="right"/>
    </xf>
    <xf numFmtId="0" fontId="7" fillId="0" borderId="0">
      <alignment horizontal="right"/>
    </xf>
    <xf numFmtId="0" fontId="6" fillId="2" borderId="0">
      <alignment horizontal="center" vertical="center"/>
    </xf>
    <xf numFmtId="0" fontId="6" fillId="3" borderId="0">
      <alignment horizontal="center" vertical="center"/>
    </xf>
    <xf numFmtId="0" fontId="1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67">
    <xf numFmtId="0" fontId="0" fillId="0" borderId="0" xfId="0"/>
    <xf numFmtId="0" fontId="3" fillId="0" borderId="0" xfId="0" applyFont="1"/>
    <xf numFmtId="0" fontId="9" fillId="0" borderId="0" xfId="2" applyFont="1" applyAlignment="1">
      <alignment horizontal="center"/>
    </xf>
    <xf numFmtId="0" fontId="11" fillId="0" borderId="0" xfId="0" applyFont="1"/>
    <xf numFmtId="0" fontId="10" fillId="4" borderId="0" xfId="0" applyFont="1" applyFill="1" applyAlignment="1">
      <alignment horizontal="center"/>
    </xf>
    <xf numFmtId="0" fontId="12" fillId="4" borderId="0" xfId="0" applyFont="1" applyFill="1"/>
    <xf numFmtId="0" fontId="12" fillId="4" borderId="0" xfId="0" applyFont="1" applyFill="1" applyAlignment="1">
      <alignment horizontal="center"/>
    </xf>
    <xf numFmtId="0" fontId="16" fillId="0" borderId="0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2" fillId="0" borderId="0" xfId="0" applyFont="1"/>
    <xf numFmtId="0" fontId="17" fillId="7" borderId="10" xfId="1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2" fillId="4" borderId="0" xfId="0" applyFont="1" applyFill="1" applyBorder="1"/>
    <xf numFmtId="0" fontId="20" fillId="4" borderId="0" xfId="0" applyFont="1" applyFill="1" applyAlignment="1">
      <alignment horizontal="center"/>
    </xf>
    <xf numFmtId="0" fontId="19" fillId="4" borderId="0" xfId="9" applyFont="1" applyFill="1" applyBorder="1" applyAlignment="1">
      <alignment horizontal="center"/>
    </xf>
    <xf numFmtId="3" fontId="19" fillId="4" borderId="0" xfId="9" applyNumberFormat="1" applyFont="1" applyFill="1" applyBorder="1" applyAlignment="1">
      <alignment horizontal="center"/>
    </xf>
    <xf numFmtId="0" fontId="10" fillId="4" borderId="0" xfId="0" applyFont="1" applyFill="1" applyBorder="1" applyAlignment="1">
      <alignment horizontal="center"/>
    </xf>
    <xf numFmtId="3" fontId="10" fillId="4" borderId="0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5" fillId="0" borderId="10" xfId="0" applyFont="1" applyBorder="1" applyAlignment="1">
      <alignment horizontal="center"/>
    </xf>
    <xf numFmtId="44" fontId="15" fillId="0" borderId="10" xfId="0" applyNumberFormat="1" applyFont="1" applyBorder="1" applyAlignment="1">
      <alignment horizontal="center"/>
    </xf>
    <xf numFmtId="0" fontId="17" fillId="7" borderId="11" xfId="1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22" fillId="7" borderId="10" xfId="10" applyFont="1" applyBorder="1" applyAlignment="1">
      <alignment horizontal="center"/>
    </xf>
    <xf numFmtId="0" fontId="15" fillId="0" borderId="11" xfId="0" applyFont="1" applyBorder="1"/>
    <xf numFmtId="0" fontId="23" fillId="0" borderId="10" xfId="0" applyFont="1" applyBorder="1" applyAlignment="1">
      <alignment horizontal="center"/>
    </xf>
    <xf numFmtId="0" fontId="23" fillId="6" borderId="10" xfId="9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7" fillId="7" borderId="0" xfId="10" applyFont="1" applyAlignment="1">
      <alignment horizontal="center"/>
    </xf>
    <xf numFmtId="164" fontId="10" fillId="0" borderId="6" xfId="0" applyNumberFormat="1" applyFont="1" applyBorder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4" fontId="10" fillId="0" borderId="8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164" fontId="10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center"/>
    </xf>
    <xf numFmtId="0" fontId="19" fillId="4" borderId="13" xfId="9" applyFont="1" applyFill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17" fillId="0" borderId="0" xfId="10" applyFont="1" applyFill="1" applyAlignment="1">
      <alignment horizontal="center"/>
    </xf>
    <xf numFmtId="0" fontId="10" fillId="0" borderId="17" xfId="0" applyFont="1" applyBorder="1" applyAlignment="1">
      <alignment horizontal="left"/>
    </xf>
    <xf numFmtId="164" fontId="10" fillId="0" borderId="18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center"/>
    </xf>
    <xf numFmtId="0" fontId="20" fillId="6" borderId="10" xfId="9" applyFont="1" applyBorder="1" applyAlignment="1">
      <alignment horizontal="left"/>
    </xf>
    <xf numFmtId="0" fontId="20" fillId="6" borderId="10" xfId="9" applyFont="1" applyBorder="1" applyAlignment="1">
      <alignment horizontal="center"/>
    </xf>
    <xf numFmtId="3" fontId="20" fillId="6" borderId="10" xfId="9" applyNumberFormat="1" applyFont="1" applyBorder="1" applyAlignment="1">
      <alignment horizontal="center"/>
    </xf>
    <xf numFmtId="0" fontId="20" fillId="6" borderId="10" xfId="9" applyFont="1" applyBorder="1" applyAlignment="1"/>
    <xf numFmtId="0" fontId="19" fillId="4" borderId="10" xfId="9" applyFont="1" applyFill="1" applyBorder="1" applyAlignment="1">
      <alignment horizontal="center"/>
    </xf>
    <xf numFmtId="0" fontId="19" fillId="4" borderId="10" xfId="9" applyFont="1" applyFill="1" applyBorder="1" applyAlignment="1"/>
    <xf numFmtId="0" fontId="24" fillId="4" borderId="10" xfId="9" applyFont="1" applyFill="1" applyBorder="1" applyAlignment="1">
      <alignment horizontal="center"/>
    </xf>
    <xf numFmtId="0" fontId="19" fillId="4" borderId="10" xfId="9" applyFont="1" applyFill="1" applyBorder="1" applyAlignment="1">
      <alignment horizontal="left"/>
    </xf>
    <xf numFmtId="3" fontId="10" fillId="0" borderId="12" xfId="0" applyNumberFormat="1" applyFont="1" applyBorder="1" applyAlignment="1">
      <alignment horizontal="center"/>
    </xf>
    <xf numFmtId="0" fontId="25" fillId="4" borderId="10" xfId="9" applyFont="1" applyFill="1" applyBorder="1" applyAlignment="1">
      <alignment horizontal="center"/>
    </xf>
    <xf numFmtId="0" fontId="18" fillId="4" borderId="10" xfId="9" applyFont="1" applyFill="1" applyBorder="1" applyAlignment="1">
      <alignment horizontal="left"/>
    </xf>
    <xf numFmtId="0" fontId="18" fillId="4" borderId="10" xfId="9" applyFont="1" applyFill="1" applyBorder="1" applyAlignment="1">
      <alignment horizontal="center"/>
    </xf>
    <xf numFmtId="3" fontId="18" fillId="6" borderId="10" xfId="9" applyNumberFormat="1" applyFont="1" applyBorder="1" applyAlignment="1">
      <alignment horizontal="center"/>
    </xf>
    <xf numFmtId="0" fontId="18" fillId="6" borderId="10" xfId="9" applyFont="1" applyBorder="1" applyAlignment="1">
      <alignment horizontal="center"/>
    </xf>
    <xf numFmtId="0" fontId="25" fillId="6" borderId="10" xfId="9" applyFont="1" applyBorder="1" applyAlignment="1">
      <alignment horizontal="center"/>
    </xf>
    <xf numFmtId="0" fontId="18" fillId="6" borderId="10" xfId="9" applyFont="1" applyBorder="1" applyAlignment="1">
      <alignment horizontal="left"/>
    </xf>
  </cellXfs>
  <cellStyles count="11">
    <cellStyle name="20% - Accent3 2" xfId="8" xr:uid="{00000000-0005-0000-0000-000000000000}"/>
    <cellStyle name="Bad" xfId="10" builtinId="27"/>
    <cellStyle name="Explanatory Text" xfId="1" builtinId="53" customBuiltin="1"/>
    <cellStyle name="Explanatory Text 2" xfId="3" xr:uid="{00000000-0005-0000-0000-000003000000}"/>
    <cellStyle name="Good" xfId="9" builtinId="26"/>
    <cellStyle name="Normal" xfId="0" builtinId="0"/>
    <cellStyle name="Normal 2" xfId="2" xr:uid="{00000000-0005-0000-0000-000006000000}"/>
    <cellStyle name="Normal 3" xfId="4" xr:uid="{00000000-0005-0000-0000-000007000000}"/>
    <cellStyle name="Normal 3 2" xfId="5" xr:uid="{00000000-0005-0000-0000-000008000000}"/>
    <cellStyle name="Normal 4" xfId="6" xr:uid="{00000000-0005-0000-0000-000009000000}"/>
    <cellStyle name="Normal 4 2" xfId="7" xr:uid="{00000000-0005-0000-0000-00000A000000}"/>
  </cellStyles>
  <dxfs count="4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  <vertical style="medium">
          <color theme="0"/>
        </vertical>
        <horizontal style="medium">
          <color theme="0"/>
        </horizontal>
      </border>
    </dxf>
  </dxfs>
  <tableStyles count="1" defaultTableStyle="TableStyleMedium2" defaultPivotStyle="PivotStyleLight16">
    <tableStyle name="Service Invoice Simple Blue Design" pivot="0" count="4" xr9:uid="{00000000-0011-0000-FFFF-FFFF00000000}">
      <tableStyleElement type="wholeTable" dxfId="3"/>
      <tableStyleElement type="headerRow" dxfId="2"/>
      <tableStyleElement type="lastColumn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24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436784"/>
      </a:accent3>
      <a:accent4>
        <a:srgbClr val="8C7B70"/>
      </a:accent4>
      <a:accent5>
        <a:srgbClr val="3C81BA"/>
      </a:accent5>
      <a:accent6>
        <a:srgbClr val="F1FAFD"/>
      </a:accent6>
      <a:hlink>
        <a:srgbClr val="00A3D6"/>
      </a:hlink>
      <a:folHlink>
        <a:srgbClr val="694F07"/>
      </a:folHlink>
    </a:clrScheme>
    <a:fontScheme name="Century Gothic">
      <a:maj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N75"/>
  <sheetViews>
    <sheetView showGridLines="0" tabSelected="1" view="pageBreakPreview" topLeftCell="A23" zoomScaleNormal="100" zoomScaleSheetLayoutView="100" workbookViewId="0">
      <selection activeCell="C30" sqref="C30"/>
    </sheetView>
  </sheetViews>
  <sheetFormatPr defaultColWidth="9.1796875" defaultRowHeight="12.5" x14ac:dyDescent="0.25"/>
  <cols>
    <col min="1" max="1" width="1.90625" style="32" customWidth="1"/>
    <col min="2" max="2" width="3.81640625" style="32" customWidth="1"/>
    <col min="3" max="3" width="30.26953125" style="1" customWidth="1"/>
    <col min="4" max="4" width="18.453125" style="32" customWidth="1"/>
    <col min="5" max="5" width="10.90625" style="32" customWidth="1"/>
    <col min="6" max="9" width="21" style="32" customWidth="1"/>
    <col min="10" max="10" width="88.08984375" style="1" bestFit="1" customWidth="1"/>
    <col min="11" max="16384" width="9.1796875" style="1"/>
  </cols>
  <sheetData>
    <row r="1" spans="1:14" s="13" customFormat="1" x14ac:dyDescent="0.25">
      <c r="A1" s="17"/>
      <c r="B1" s="17"/>
      <c r="C1" s="4"/>
      <c r="D1" s="4"/>
      <c r="E1" s="6"/>
      <c r="F1" s="6"/>
      <c r="G1" s="6"/>
      <c r="H1" s="6"/>
      <c r="I1" s="6"/>
      <c r="J1" s="5"/>
      <c r="K1" s="16"/>
      <c r="L1" s="16"/>
      <c r="M1" s="16"/>
      <c r="N1" s="16"/>
    </row>
    <row r="2" spans="1:14" s="13" customFormat="1" ht="13" thickBot="1" x14ac:dyDescent="0.3">
      <c r="A2" s="17"/>
      <c r="B2" s="17"/>
      <c r="C2" s="7"/>
      <c r="D2" s="4"/>
      <c r="E2" s="6"/>
      <c r="F2" s="38" t="s">
        <v>17</v>
      </c>
      <c r="G2" s="47"/>
      <c r="H2" s="47"/>
      <c r="I2" s="47"/>
      <c r="J2" s="5"/>
      <c r="K2" s="16"/>
      <c r="L2" s="16"/>
      <c r="M2" s="16"/>
      <c r="N2" s="16"/>
    </row>
    <row r="3" spans="1:14" s="13" customFormat="1" ht="13" thickBot="1" x14ac:dyDescent="0.3">
      <c r="A3" s="17"/>
      <c r="B3" s="17"/>
      <c r="C3" s="8" t="s">
        <v>16</v>
      </c>
      <c r="D3" s="4"/>
      <c r="E3" s="6"/>
      <c r="F3" s="9">
        <v>925</v>
      </c>
      <c r="G3" s="9"/>
      <c r="H3" s="9"/>
      <c r="I3" s="9"/>
      <c r="J3" s="5"/>
      <c r="K3" s="5"/>
      <c r="L3" s="5"/>
      <c r="M3" s="5"/>
      <c r="N3" s="5"/>
    </row>
    <row r="4" spans="1:14" s="13" customFormat="1" x14ac:dyDescent="0.25">
      <c r="A4" s="17"/>
      <c r="B4" s="17"/>
      <c r="C4" s="10" t="s">
        <v>9</v>
      </c>
      <c r="D4" s="39" t="s">
        <v>19</v>
      </c>
      <c r="E4" s="35"/>
      <c r="F4" s="6"/>
      <c r="G4" s="6"/>
      <c r="H4" s="6"/>
      <c r="I4" s="6"/>
      <c r="J4" s="5"/>
      <c r="K4" s="5"/>
      <c r="L4" s="5"/>
      <c r="M4" s="5"/>
      <c r="N4" s="5"/>
    </row>
    <row r="5" spans="1:14" s="13" customFormat="1" x14ac:dyDescent="0.25">
      <c r="A5" s="17"/>
      <c r="B5" s="17"/>
      <c r="C5" s="11" t="s">
        <v>0</v>
      </c>
      <c r="D5" s="40" t="s">
        <v>20</v>
      </c>
      <c r="E5" s="36"/>
      <c r="F5" s="6"/>
      <c r="G5" s="6"/>
      <c r="H5" s="6"/>
      <c r="I5" s="6"/>
      <c r="J5" s="5"/>
      <c r="K5" s="5"/>
      <c r="L5" s="5"/>
      <c r="M5" s="5"/>
      <c r="N5" s="5"/>
    </row>
    <row r="6" spans="1:14" s="13" customFormat="1" ht="13" thickBot="1" x14ac:dyDescent="0.3">
      <c r="A6" s="17"/>
      <c r="B6" s="17"/>
      <c r="C6" s="12" t="s">
        <v>10</v>
      </c>
      <c r="D6" s="41" t="s">
        <v>18</v>
      </c>
      <c r="E6" s="37"/>
      <c r="F6" s="6"/>
      <c r="G6" s="6"/>
      <c r="H6" s="6"/>
      <c r="I6" s="6"/>
      <c r="J6" s="5"/>
      <c r="K6" s="5"/>
      <c r="L6" s="5"/>
      <c r="M6" s="5"/>
      <c r="N6" s="5"/>
    </row>
    <row r="7" spans="1:14" s="13" customFormat="1" ht="13" thickBot="1" x14ac:dyDescent="0.3">
      <c r="A7" s="17"/>
      <c r="B7" s="17"/>
      <c r="C7" s="48" t="s">
        <v>21</v>
      </c>
      <c r="D7" s="49" t="s">
        <v>22</v>
      </c>
      <c r="E7" s="50"/>
      <c r="F7" s="6"/>
      <c r="G7" s="6"/>
      <c r="H7" s="6"/>
      <c r="I7" s="6"/>
      <c r="K7" s="5"/>
      <c r="L7" s="5"/>
      <c r="M7" s="5"/>
      <c r="N7" s="5"/>
    </row>
    <row r="8" spans="1:14" s="13" customFormat="1" x14ac:dyDescent="0.25">
      <c r="A8" s="17"/>
      <c r="B8" s="17"/>
      <c r="C8" s="42"/>
      <c r="D8" s="43"/>
      <c r="E8" s="44"/>
      <c r="F8" s="6"/>
      <c r="G8" s="6"/>
      <c r="H8" s="6"/>
      <c r="I8" s="6"/>
      <c r="K8" s="5"/>
      <c r="L8" s="5"/>
      <c r="M8" s="5"/>
      <c r="N8" s="5"/>
    </row>
    <row r="9" spans="1:14" s="13" customFormat="1" ht="14" x14ac:dyDescent="0.3">
      <c r="A9" s="30" t="s">
        <v>7</v>
      </c>
      <c r="B9" s="30" t="s">
        <v>7</v>
      </c>
      <c r="C9" s="23" t="s">
        <v>1</v>
      </c>
      <c r="D9" s="23" t="s">
        <v>2</v>
      </c>
      <c r="E9" s="23" t="s">
        <v>3</v>
      </c>
      <c r="F9" s="24" t="s">
        <v>4</v>
      </c>
      <c r="G9" s="24" t="s">
        <v>13</v>
      </c>
      <c r="H9" s="24" t="s">
        <v>12</v>
      </c>
      <c r="I9" s="24" t="s">
        <v>5</v>
      </c>
      <c r="J9" s="23" t="s">
        <v>8</v>
      </c>
      <c r="K9" s="16"/>
      <c r="L9" s="16"/>
      <c r="M9" s="16"/>
      <c r="N9" s="16"/>
    </row>
    <row r="10" spans="1:14" s="13" customFormat="1" x14ac:dyDescent="0.25">
      <c r="A10" s="31">
        <v>1</v>
      </c>
      <c r="B10" s="31">
        <v>1</v>
      </c>
      <c r="C10" s="51" t="s">
        <v>23</v>
      </c>
      <c r="D10" s="52">
        <v>2</v>
      </c>
      <c r="E10" s="52">
        <v>0.28499999999999998</v>
      </c>
      <c r="F10" s="52">
        <v>275000</v>
      </c>
      <c r="G10" s="53">
        <f>D10*F10</f>
        <v>550000</v>
      </c>
      <c r="H10" s="53"/>
      <c r="I10" s="52">
        <f>SUM(G10+H10)</f>
        <v>550000</v>
      </c>
      <c r="J10" s="54"/>
      <c r="K10" s="16"/>
      <c r="L10" s="16"/>
      <c r="M10" s="16"/>
      <c r="N10" s="16"/>
    </row>
    <row r="11" spans="1:14" s="13" customFormat="1" x14ac:dyDescent="0.25">
      <c r="A11" s="60">
        <v>2</v>
      </c>
      <c r="B11" s="60">
        <v>2</v>
      </c>
      <c r="C11" s="61" t="s">
        <v>24</v>
      </c>
      <c r="D11" s="62">
        <v>5.75</v>
      </c>
      <c r="E11" s="62">
        <v>4.7220000000000004</v>
      </c>
      <c r="F11" s="62">
        <v>450000</v>
      </c>
      <c r="G11" s="63">
        <f>E11*F11</f>
        <v>2124900</v>
      </c>
      <c r="H11" s="62">
        <v>100</v>
      </c>
      <c r="I11" s="64">
        <f t="shared" ref="I11:I37" si="0">SUM(G11+H11)</f>
        <v>2125000</v>
      </c>
      <c r="J11" s="56" t="s">
        <v>14</v>
      </c>
      <c r="K11" s="16"/>
      <c r="L11" s="16"/>
      <c r="M11" s="16"/>
      <c r="N11" s="16"/>
    </row>
    <row r="12" spans="1:14" s="13" customFormat="1" x14ac:dyDescent="0.25">
      <c r="A12" s="31">
        <v>3</v>
      </c>
      <c r="B12" s="31">
        <v>3</v>
      </c>
      <c r="C12" s="51" t="s">
        <v>25</v>
      </c>
      <c r="D12" s="52">
        <v>0.08</v>
      </c>
      <c r="E12" s="52">
        <v>2.8000000000000001E-2</v>
      </c>
      <c r="F12" s="52"/>
      <c r="G12" s="53">
        <f t="shared" ref="G12:G37" si="1">D12*F12</f>
        <v>0</v>
      </c>
      <c r="H12" s="53"/>
      <c r="I12" s="52">
        <f t="shared" si="0"/>
        <v>0</v>
      </c>
      <c r="J12" s="54" t="s">
        <v>50</v>
      </c>
      <c r="K12" s="16"/>
      <c r="L12" s="16"/>
      <c r="M12" s="16"/>
      <c r="N12" s="16"/>
    </row>
    <row r="13" spans="1:14" s="13" customFormat="1" x14ac:dyDescent="0.25">
      <c r="A13" s="57">
        <v>4</v>
      </c>
      <c r="B13" s="57">
        <v>4</v>
      </c>
      <c r="C13" s="58" t="s">
        <v>26</v>
      </c>
      <c r="D13" s="55">
        <v>2</v>
      </c>
      <c r="E13" s="55">
        <v>0.59899999999999998</v>
      </c>
      <c r="F13" s="55">
        <v>275000</v>
      </c>
      <c r="G13" s="53">
        <f t="shared" si="1"/>
        <v>550000</v>
      </c>
      <c r="H13" s="55"/>
      <c r="I13" s="52">
        <f t="shared" si="0"/>
        <v>550000</v>
      </c>
      <c r="J13" s="56"/>
      <c r="K13" s="16"/>
      <c r="L13" s="16"/>
      <c r="M13" s="16"/>
      <c r="N13" s="16"/>
    </row>
    <row r="14" spans="1:14" s="13" customFormat="1" x14ac:dyDescent="0.25">
      <c r="A14" s="31">
        <v>5</v>
      </c>
      <c r="B14" s="31">
        <v>5</v>
      </c>
      <c r="C14" s="51" t="s">
        <v>27</v>
      </c>
      <c r="D14" s="52">
        <v>2.5</v>
      </c>
      <c r="E14" s="52">
        <v>0.65400000000000003</v>
      </c>
      <c r="F14" s="52">
        <v>275000</v>
      </c>
      <c r="G14" s="53">
        <f t="shared" si="1"/>
        <v>687500</v>
      </c>
      <c r="H14" s="53">
        <v>500</v>
      </c>
      <c r="I14" s="52">
        <f t="shared" si="0"/>
        <v>688000</v>
      </c>
      <c r="J14" s="54"/>
      <c r="K14" s="16"/>
      <c r="L14" s="16"/>
      <c r="M14" s="16"/>
      <c r="N14" s="16"/>
    </row>
    <row r="15" spans="1:14" s="13" customFormat="1" x14ac:dyDescent="0.25">
      <c r="A15" s="57">
        <v>6</v>
      </c>
      <c r="B15" s="57">
        <v>6</v>
      </c>
      <c r="C15" s="58" t="s">
        <v>28</v>
      </c>
      <c r="D15" s="55">
        <v>1.5</v>
      </c>
      <c r="E15" s="55">
        <v>0.59699999999999998</v>
      </c>
      <c r="F15" s="55">
        <v>250000</v>
      </c>
      <c r="G15" s="53">
        <f t="shared" si="1"/>
        <v>375000</v>
      </c>
      <c r="H15" s="55"/>
      <c r="I15" s="52">
        <f t="shared" si="0"/>
        <v>375000</v>
      </c>
      <c r="J15" s="56" t="s">
        <v>14</v>
      </c>
      <c r="K15" s="16"/>
      <c r="L15" s="16"/>
      <c r="M15" s="16"/>
      <c r="N15" s="16"/>
    </row>
    <row r="16" spans="1:14" s="13" customFormat="1" x14ac:dyDescent="0.25">
      <c r="A16" s="31">
        <v>7</v>
      </c>
      <c r="B16" s="31">
        <v>7</v>
      </c>
      <c r="C16" s="51" t="s">
        <v>29</v>
      </c>
      <c r="D16" s="52">
        <v>3.5</v>
      </c>
      <c r="E16" s="52">
        <v>1.1839999999999999</v>
      </c>
      <c r="F16" s="52">
        <v>275000</v>
      </c>
      <c r="G16" s="53">
        <f t="shared" si="1"/>
        <v>962500</v>
      </c>
      <c r="H16" s="53">
        <v>500</v>
      </c>
      <c r="I16" s="52">
        <f t="shared" si="0"/>
        <v>963000</v>
      </c>
      <c r="J16" s="54"/>
      <c r="K16" s="16"/>
      <c r="L16" s="16"/>
      <c r="M16" s="16"/>
      <c r="N16" s="16"/>
    </row>
    <row r="17" spans="1:14" s="13" customFormat="1" x14ac:dyDescent="0.25">
      <c r="A17" s="57">
        <v>8</v>
      </c>
      <c r="B17" s="57">
        <v>8</v>
      </c>
      <c r="C17" s="58" t="s">
        <v>30</v>
      </c>
      <c r="D17" s="55">
        <v>9.25</v>
      </c>
      <c r="E17" s="55">
        <v>4.3179999999999996</v>
      </c>
      <c r="F17" s="55">
        <v>250000</v>
      </c>
      <c r="G17" s="53">
        <f t="shared" si="1"/>
        <v>2312500</v>
      </c>
      <c r="H17" s="55">
        <v>-500</v>
      </c>
      <c r="I17" s="52">
        <f t="shared" si="0"/>
        <v>2312000</v>
      </c>
      <c r="J17" s="56" t="s">
        <v>14</v>
      </c>
      <c r="K17" s="16"/>
      <c r="L17" s="16"/>
      <c r="M17" s="16"/>
      <c r="N17" s="16"/>
    </row>
    <row r="18" spans="1:14" s="13" customFormat="1" x14ac:dyDescent="0.25">
      <c r="A18" s="31">
        <v>9</v>
      </c>
      <c r="B18" s="31">
        <v>10</v>
      </c>
      <c r="C18" s="51" t="s">
        <v>31</v>
      </c>
      <c r="D18" s="52">
        <v>0.37</v>
      </c>
      <c r="E18" s="52">
        <v>6.5000000000000002E-2</v>
      </c>
      <c r="F18" s="52"/>
      <c r="G18" s="53">
        <v>120000</v>
      </c>
      <c r="H18" s="53"/>
      <c r="I18" s="52">
        <f t="shared" si="0"/>
        <v>120000</v>
      </c>
      <c r="J18" s="54" t="s">
        <v>51</v>
      </c>
      <c r="K18" s="16"/>
      <c r="L18" s="16"/>
      <c r="M18" s="16"/>
      <c r="N18" s="16"/>
    </row>
    <row r="19" spans="1:14" s="13" customFormat="1" x14ac:dyDescent="0.25">
      <c r="A19" s="57">
        <v>10</v>
      </c>
      <c r="B19" s="57">
        <v>11</v>
      </c>
      <c r="C19" s="58" t="s">
        <v>52</v>
      </c>
      <c r="D19" s="55">
        <v>3</v>
      </c>
      <c r="E19" s="55">
        <v>0.81399999999999995</v>
      </c>
      <c r="F19" s="55">
        <v>275000</v>
      </c>
      <c r="G19" s="53">
        <f t="shared" si="1"/>
        <v>825000</v>
      </c>
      <c r="H19" s="55"/>
      <c r="I19" s="52">
        <f t="shared" si="0"/>
        <v>825000</v>
      </c>
      <c r="J19" s="56"/>
      <c r="K19" s="16"/>
      <c r="L19" s="16"/>
      <c r="M19" s="16"/>
      <c r="N19" s="16"/>
    </row>
    <row r="20" spans="1:14" s="13" customFormat="1" x14ac:dyDescent="0.25">
      <c r="A20" s="31">
        <v>11</v>
      </c>
      <c r="B20" s="31">
        <v>12</v>
      </c>
      <c r="C20" s="51" t="s">
        <v>32</v>
      </c>
      <c r="D20" s="52">
        <v>4</v>
      </c>
      <c r="E20" s="52">
        <v>0.875</v>
      </c>
      <c r="F20" s="52">
        <v>225000</v>
      </c>
      <c r="G20" s="53">
        <f t="shared" si="1"/>
        <v>900000</v>
      </c>
      <c r="H20" s="53"/>
      <c r="I20" s="52">
        <f t="shared" si="0"/>
        <v>900000</v>
      </c>
      <c r="J20" s="54" t="s">
        <v>53</v>
      </c>
      <c r="K20" s="16"/>
      <c r="L20" s="16"/>
      <c r="M20" s="16"/>
      <c r="N20" s="16"/>
    </row>
    <row r="21" spans="1:14" s="13" customFormat="1" x14ac:dyDescent="0.25">
      <c r="A21" s="60">
        <v>12</v>
      </c>
      <c r="B21" s="60">
        <v>13</v>
      </c>
      <c r="C21" s="61" t="s">
        <v>33</v>
      </c>
      <c r="D21" s="62">
        <v>0.75</v>
      </c>
      <c r="E21" s="62">
        <v>0.625</v>
      </c>
      <c r="F21" s="62">
        <v>500000</v>
      </c>
      <c r="G21" s="63">
        <f>E21*F21</f>
        <v>312500</v>
      </c>
      <c r="H21" s="62">
        <v>500</v>
      </c>
      <c r="I21" s="64">
        <f t="shared" si="0"/>
        <v>313000</v>
      </c>
      <c r="J21" s="56"/>
      <c r="K21" s="16"/>
      <c r="L21" s="16"/>
      <c r="M21" s="16"/>
      <c r="N21" s="16"/>
    </row>
    <row r="22" spans="1:14" s="13" customFormat="1" x14ac:dyDescent="0.25">
      <c r="A22" s="31">
        <v>13</v>
      </c>
      <c r="B22" s="31">
        <v>14</v>
      </c>
      <c r="C22" s="51" t="s">
        <v>34</v>
      </c>
      <c r="D22" s="52">
        <v>1</v>
      </c>
      <c r="E22" s="52">
        <v>0.46300000000000002</v>
      </c>
      <c r="F22" s="52">
        <v>275000</v>
      </c>
      <c r="G22" s="53">
        <f t="shared" si="1"/>
        <v>275000</v>
      </c>
      <c r="H22" s="53"/>
      <c r="I22" s="52">
        <f t="shared" si="0"/>
        <v>275000</v>
      </c>
      <c r="J22" s="54"/>
      <c r="K22" s="16"/>
      <c r="L22" s="16"/>
      <c r="M22" s="16"/>
      <c r="N22" s="16"/>
    </row>
    <row r="23" spans="1:14" s="13" customFormat="1" x14ac:dyDescent="0.25">
      <c r="A23" s="57">
        <v>14</v>
      </c>
      <c r="B23" s="57">
        <v>15</v>
      </c>
      <c r="C23" s="58" t="s">
        <v>35</v>
      </c>
      <c r="D23" s="55">
        <v>0.15</v>
      </c>
      <c r="E23" s="55">
        <v>0.06</v>
      </c>
      <c r="F23" s="55"/>
      <c r="G23" s="53">
        <v>120000</v>
      </c>
      <c r="H23" s="55"/>
      <c r="I23" s="52">
        <f t="shared" si="0"/>
        <v>120000</v>
      </c>
      <c r="J23" s="56" t="s">
        <v>51</v>
      </c>
      <c r="K23" s="16"/>
      <c r="L23" s="16"/>
      <c r="M23" s="16"/>
      <c r="N23" s="16"/>
    </row>
    <row r="24" spans="1:14" s="13" customFormat="1" x14ac:dyDescent="0.25">
      <c r="A24" s="31">
        <v>15</v>
      </c>
      <c r="B24" s="31">
        <v>16</v>
      </c>
      <c r="C24" s="51" t="s">
        <v>36</v>
      </c>
      <c r="D24" s="52">
        <v>0.13</v>
      </c>
      <c r="E24" s="52">
        <v>7.3999999999999996E-2</v>
      </c>
      <c r="F24" s="52"/>
      <c r="G24" s="53">
        <v>120000</v>
      </c>
      <c r="H24" s="53"/>
      <c r="I24" s="52">
        <f t="shared" si="0"/>
        <v>120000</v>
      </c>
      <c r="J24" s="54" t="s">
        <v>51</v>
      </c>
      <c r="K24" s="16"/>
      <c r="L24" s="16"/>
      <c r="M24" s="16"/>
      <c r="N24" s="16"/>
    </row>
    <row r="25" spans="1:14" s="13" customFormat="1" x14ac:dyDescent="0.25">
      <c r="A25" s="57">
        <v>16</v>
      </c>
      <c r="B25" s="57">
        <v>17</v>
      </c>
      <c r="C25" s="58" t="s">
        <v>37</v>
      </c>
      <c r="D25" s="55">
        <v>1.5</v>
      </c>
      <c r="E25" s="55">
        <v>0.27100000000000002</v>
      </c>
      <c r="F25" s="55">
        <v>275000</v>
      </c>
      <c r="G25" s="53">
        <f t="shared" si="1"/>
        <v>412500</v>
      </c>
      <c r="H25" s="55">
        <v>500</v>
      </c>
      <c r="I25" s="52">
        <f t="shared" si="0"/>
        <v>413000</v>
      </c>
      <c r="J25" s="56"/>
      <c r="K25" s="16"/>
      <c r="L25" s="16"/>
      <c r="M25" s="16"/>
      <c r="N25" s="16"/>
    </row>
    <row r="26" spans="1:14" s="13" customFormat="1" x14ac:dyDescent="0.25">
      <c r="A26" s="31">
        <v>17</v>
      </c>
      <c r="B26" s="31">
        <v>18</v>
      </c>
      <c r="C26" s="51" t="s">
        <v>38</v>
      </c>
      <c r="D26" s="52">
        <v>7.0000000000000007E-2</v>
      </c>
      <c r="E26" s="52">
        <v>3.6999999999999998E-2</v>
      </c>
      <c r="F26" s="52"/>
      <c r="G26" s="53">
        <v>120000</v>
      </c>
      <c r="H26" s="53"/>
      <c r="I26" s="52">
        <f t="shared" si="0"/>
        <v>120000</v>
      </c>
      <c r="J26" s="54" t="s">
        <v>51</v>
      </c>
      <c r="K26" s="16"/>
      <c r="L26" s="16"/>
      <c r="M26" s="16"/>
      <c r="N26" s="16"/>
    </row>
    <row r="27" spans="1:14" s="13" customFormat="1" x14ac:dyDescent="0.25">
      <c r="A27" s="57">
        <v>18</v>
      </c>
      <c r="B27" s="57" t="s">
        <v>58</v>
      </c>
      <c r="C27" s="58" t="s">
        <v>39</v>
      </c>
      <c r="D27" s="55">
        <v>4.75</v>
      </c>
      <c r="E27" s="55">
        <v>2.016</v>
      </c>
      <c r="F27" s="55">
        <v>275000</v>
      </c>
      <c r="G27" s="53">
        <f t="shared" si="1"/>
        <v>1306250</v>
      </c>
      <c r="H27" s="55">
        <v>69750</v>
      </c>
      <c r="I27" s="52">
        <f t="shared" si="0"/>
        <v>1376000</v>
      </c>
      <c r="J27" s="56" t="s">
        <v>54</v>
      </c>
      <c r="K27" s="16"/>
      <c r="L27" s="16"/>
      <c r="M27" s="16"/>
      <c r="N27" s="16"/>
    </row>
    <row r="28" spans="1:14" s="13" customFormat="1" x14ac:dyDescent="0.25">
      <c r="A28" s="31">
        <v>19</v>
      </c>
      <c r="B28" s="31">
        <v>20</v>
      </c>
      <c r="C28" s="51" t="s">
        <v>40</v>
      </c>
      <c r="D28" s="52">
        <v>0.12</v>
      </c>
      <c r="E28" s="52">
        <v>0.03</v>
      </c>
      <c r="F28" s="52"/>
      <c r="G28" s="53">
        <v>120000</v>
      </c>
      <c r="H28" s="53"/>
      <c r="I28" s="52">
        <f t="shared" si="0"/>
        <v>120000</v>
      </c>
      <c r="J28" s="54" t="s">
        <v>51</v>
      </c>
      <c r="K28" s="16"/>
      <c r="L28" s="16"/>
      <c r="M28" s="16"/>
      <c r="N28" s="16"/>
    </row>
    <row r="29" spans="1:14" s="13" customFormat="1" x14ac:dyDescent="0.25">
      <c r="A29" s="60">
        <v>20</v>
      </c>
      <c r="B29" s="60">
        <v>21</v>
      </c>
      <c r="C29" s="61" t="s">
        <v>41</v>
      </c>
      <c r="D29" s="62">
        <v>1</v>
      </c>
      <c r="E29" s="62">
        <v>0.64900000000000002</v>
      </c>
      <c r="F29" s="62">
        <v>450000</v>
      </c>
      <c r="G29" s="63">
        <f>E29*F29</f>
        <v>292050</v>
      </c>
      <c r="H29" s="62">
        <v>-50</v>
      </c>
      <c r="I29" s="64">
        <f t="shared" si="0"/>
        <v>292000</v>
      </c>
      <c r="J29" s="56"/>
      <c r="K29" s="16"/>
      <c r="L29" s="16"/>
      <c r="M29" s="16"/>
      <c r="N29" s="16"/>
    </row>
    <row r="30" spans="1:14" s="13" customFormat="1" x14ac:dyDescent="0.25">
      <c r="A30" s="31">
        <v>21</v>
      </c>
      <c r="B30" s="31">
        <v>23</v>
      </c>
      <c r="C30" s="51" t="s">
        <v>42</v>
      </c>
      <c r="D30" s="52">
        <v>7.75</v>
      </c>
      <c r="E30" s="52">
        <v>0.81399999999999995</v>
      </c>
      <c r="F30" s="52">
        <v>250000</v>
      </c>
      <c r="G30" s="53">
        <f t="shared" si="1"/>
        <v>1937500</v>
      </c>
      <c r="H30" s="53">
        <v>500</v>
      </c>
      <c r="I30" s="52">
        <f t="shared" si="0"/>
        <v>1938000</v>
      </c>
      <c r="J30" s="54" t="s">
        <v>55</v>
      </c>
      <c r="K30" s="16"/>
      <c r="L30" s="16"/>
      <c r="M30" s="16"/>
      <c r="N30" s="16"/>
    </row>
    <row r="31" spans="1:14" s="13" customFormat="1" x14ac:dyDescent="0.25">
      <c r="A31" s="57">
        <v>22</v>
      </c>
      <c r="B31" s="57">
        <v>24</v>
      </c>
      <c r="C31" s="58" t="s">
        <v>43</v>
      </c>
      <c r="D31" s="55">
        <v>1.25</v>
      </c>
      <c r="E31" s="55">
        <v>0.67900000000000005</v>
      </c>
      <c r="F31" s="55">
        <v>275000</v>
      </c>
      <c r="G31" s="53">
        <f t="shared" si="1"/>
        <v>343750</v>
      </c>
      <c r="H31" s="55">
        <v>70250</v>
      </c>
      <c r="I31" s="52">
        <f t="shared" si="0"/>
        <v>414000</v>
      </c>
      <c r="J31" s="56" t="s">
        <v>54</v>
      </c>
      <c r="K31" s="16"/>
      <c r="L31" s="16"/>
      <c r="M31" s="16"/>
      <c r="N31" s="16"/>
    </row>
    <row r="32" spans="1:14" s="13" customFormat="1" x14ac:dyDescent="0.25">
      <c r="A32" s="31">
        <v>23</v>
      </c>
      <c r="B32" s="31">
        <v>25</v>
      </c>
      <c r="C32" s="51" t="s">
        <v>44</v>
      </c>
      <c r="D32" s="52">
        <v>0.34</v>
      </c>
      <c r="E32" s="52">
        <v>5.3999999999999999E-2</v>
      </c>
      <c r="F32" s="52"/>
      <c r="G32" s="53">
        <v>120000</v>
      </c>
      <c r="H32" s="53"/>
      <c r="I32" s="52">
        <f t="shared" si="0"/>
        <v>120000</v>
      </c>
      <c r="J32" s="54" t="s">
        <v>51</v>
      </c>
      <c r="K32" s="16"/>
      <c r="L32" s="16"/>
      <c r="M32" s="16"/>
      <c r="N32" s="16"/>
    </row>
    <row r="33" spans="1:14" s="13" customFormat="1" x14ac:dyDescent="0.25">
      <c r="A33" s="57">
        <v>24</v>
      </c>
      <c r="B33" s="57">
        <v>26</v>
      </c>
      <c r="C33" s="58" t="s">
        <v>45</v>
      </c>
      <c r="D33" s="55">
        <v>5.25</v>
      </c>
      <c r="E33" s="55">
        <v>2.468</v>
      </c>
      <c r="F33" s="55">
        <v>250000</v>
      </c>
      <c r="G33" s="53">
        <f t="shared" si="1"/>
        <v>1312500</v>
      </c>
      <c r="H33" s="55">
        <v>500</v>
      </c>
      <c r="I33" s="52">
        <f t="shared" si="0"/>
        <v>1313000</v>
      </c>
      <c r="J33" s="56" t="s">
        <v>14</v>
      </c>
      <c r="K33" s="16"/>
      <c r="L33" s="16"/>
      <c r="M33" s="16"/>
      <c r="N33" s="16"/>
    </row>
    <row r="34" spans="1:14" s="13" customFormat="1" x14ac:dyDescent="0.25">
      <c r="A34" s="65">
        <v>25</v>
      </c>
      <c r="B34" s="65">
        <v>27</v>
      </c>
      <c r="C34" s="66" t="s">
        <v>46</v>
      </c>
      <c r="D34" s="64">
        <v>1</v>
      </c>
      <c r="E34" s="64">
        <v>0.64</v>
      </c>
      <c r="F34" s="64">
        <v>500000</v>
      </c>
      <c r="G34" s="63">
        <f>E34*F34</f>
        <v>320000</v>
      </c>
      <c r="H34" s="63"/>
      <c r="I34" s="64">
        <f t="shared" si="0"/>
        <v>320000</v>
      </c>
      <c r="J34" s="54"/>
      <c r="K34" s="16"/>
      <c r="L34" s="16"/>
      <c r="M34" s="16"/>
      <c r="N34" s="16"/>
    </row>
    <row r="35" spans="1:14" s="13" customFormat="1" x14ac:dyDescent="0.25">
      <c r="A35" s="57">
        <v>26</v>
      </c>
      <c r="B35" s="57">
        <v>28</v>
      </c>
      <c r="C35" s="58" t="s">
        <v>47</v>
      </c>
      <c r="D35" s="55">
        <v>11.25</v>
      </c>
      <c r="E35" s="55">
        <v>4.9429999999999996</v>
      </c>
      <c r="F35" s="55">
        <v>250000</v>
      </c>
      <c r="G35" s="53">
        <f t="shared" si="1"/>
        <v>2812500</v>
      </c>
      <c r="H35" s="55">
        <v>500</v>
      </c>
      <c r="I35" s="52">
        <f t="shared" si="0"/>
        <v>2813000</v>
      </c>
      <c r="J35" s="56" t="s">
        <v>56</v>
      </c>
      <c r="K35" s="16"/>
      <c r="L35" s="16"/>
      <c r="M35" s="16"/>
      <c r="N35" s="16"/>
    </row>
    <row r="36" spans="1:14" s="13" customFormat="1" x14ac:dyDescent="0.25">
      <c r="A36" s="31">
        <v>27</v>
      </c>
      <c r="B36" s="31">
        <v>29</v>
      </c>
      <c r="C36" s="51" t="s">
        <v>49</v>
      </c>
      <c r="D36" s="52">
        <v>0.1</v>
      </c>
      <c r="E36" s="52">
        <v>5.1999999999999998E-2</v>
      </c>
      <c r="F36" s="52"/>
      <c r="G36" s="53">
        <f t="shared" si="1"/>
        <v>0</v>
      </c>
      <c r="H36" s="53"/>
      <c r="I36" s="52">
        <f t="shared" si="0"/>
        <v>0</v>
      </c>
      <c r="J36" s="54" t="s">
        <v>57</v>
      </c>
      <c r="K36" s="16"/>
      <c r="L36" s="16"/>
      <c r="M36" s="16"/>
      <c r="N36" s="16"/>
    </row>
    <row r="37" spans="1:14" s="13" customFormat="1" x14ac:dyDescent="0.25">
      <c r="A37" s="57">
        <v>27</v>
      </c>
      <c r="B37" s="57">
        <v>36</v>
      </c>
      <c r="C37" s="58" t="s">
        <v>48</v>
      </c>
      <c r="D37" s="55">
        <v>5.01</v>
      </c>
      <c r="E37" s="55">
        <v>0.55400000000000005</v>
      </c>
      <c r="F37" s="55"/>
      <c r="G37" s="53">
        <f t="shared" si="1"/>
        <v>0</v>
      </c>
      <c r="H37" s="55"/>
      <c r="I37" s="52">
        <f t="shared" si="0"/>
        <v>0</v>
      </c>
      <c r="J37" s="56"/>
      <c r="K37" s="16"/>
      <c r="L37" s="16"/>
      <c r="M37" s="16"/>
      <c r="N37" s="16"/>
    </row>
    <row r="38" spans="1:14" s="13" customFormat="1" ht="14" x14ac:dyDescent="0.3">
      <c r="A38" s="22"/>
      <c r="B38" s="22"/>
      <c r="C38" s="28" t="s">
        <v>6</v>
      </c>
      <c r="D38" s="14">
        <f>SUM(D10:D37)</f>
        <v>75.37</v>
      </c>
      <c r="E38" s="14">
        <f>SUM(E10:E37)</f>
        <v>28.569999999999997</v>
      </c>
      <c r="F38" s="25">
        <v>0</v>
      </c>
      <c r="G38" s="25"/>
      <c r="H38" s="25"/>
      <c r="I38" s="25">
        <f>SUM(I10:I37)</f>
        <v>19475000</v>
      </c>
      <c r="J38" s="45"/>
      <c r="K38" s="18"/>
      <c r="L38" s="18"/>
      <c r="M38" s="19"/>
      <c r="N38" s="19"/>
    </row>
    <row r="39" spans="1:14" s="13" customFormat="1" ht="14" x14ac:dyDescent="0.3">
      <c r="A39" s="22"/>
      <c r="B39" s="22"/>
      <c r="C39" s="29" t="s">
        <v>11</v>
      </c>
      <c r="D39" s="15"/>
      <c r="E39" s="59">
        <v>1961</v>
      </c>
      <c r="F39" s="26" t="s">
        <v>15</v>
      </c>
      <c r="G39" s="46"/>
      <c r="H39" s="46"/>
      <c r="I39" s="26"/>
      <c r="J39" s="27"/>
      <c r="K39" s="20"/>
      <c r="L39" s="20"/>
      <c r="M39" s="21"/>
      <c r="N39" s="21"/>
    </row>
    <row r="40" spans="1:14" s="2" customFormat="1" ht="13" x14ac:dyDescent="0.3"/>
    <row r="41" spans="1:14" s="2" customFormat="1" ht="13" x14ac:dyDescent="0.3"/>
    <row r="42" spans="1:14" s="2" customFormat="1" ht="13" x14ac:dyDescent="0.3"/>
    <row r="43" spans="1:14" s="2" customFormat="1" ht="13" x14ac:dyDescent="0.3"/>
    <row r="44" spans="1:14" s="2" customFormat="1" ht="13" x14ac:dyDescent="0.3"/>
    <row r="45" spans="1:14" s="2" customFormat="1" ht="13" x14ac:dyDescent="0.3"/>
    <row r="46" spans="1:14" s="2" customFormat="1" ht="13" x14ac:dyDescent="0.3"/>
    <row r="47" spans="1:14" s="2" customFormat="1" ht="13" x14ac:dyDescent="0.3"/>
    <row r="48" spans="1:14" s="2" customFormat="1" ht="13" x14ac:dyDescent="0.3"/>
    <row r="49" s="2" customFormat="1" ht="13" x14ac:dyDescent="0.3"/>
    <row r="50" s="2" customFormat="1" ht="13" x14ac:dyDescent="0.3"/>
    <row r="51" s="2" customFormat="1" ht="13" x14ac:dyDescent="0.3"/>
    <row r="52" s="2" customFormat="1" ht="13" x14ac:dyDescent="0.3"/>
    <row r="53" s="2" customFormat="1" ht="13" x14ac:dyDescent="0.3"/>
    <row r="54" s="2" customFormat="1" ht="13" x14ac:dyDescent="0.3"/>
    <row r="55" s="2" customFormat="1" ht="13" x14ac:dyDescent="0.3"/>
    <row r="56" s="2" customFormat="1" ht="13" x14ac:dyDescent="0.3"/>
    <row r="57" s="2" customFormat="1" ht="13" x14ac:dyDescent="0.3"/>
    <row r="60" ht="15" customHeight="1" x14ac:dyDescent="0.25"/>
    <row r="61" ht="15" customHeight="1" x14ac:dyDescent="0.25"/>
    <row r="62" ht="15" customHeight="1" x14ac:dyDescent="0.25"/>
    <row r="68" spans="1:9" ht="14.25" customHeight="1" x14ac:dyDescent="0.25"/>
    <row r="69" spans="1:9" ht="16.149999999999999" customHeight="1" x14ac:dyDescent="0.25"/>
    <row r="70" spans="1:9" ht="16.149999999999999" customHeight="1" x14ac:dyDescent="0.25"/>
    <row r="71" spans="1:9" ht="16.149999999999999" customHeight="1" x14ac:dyDescent="0.25"/>
    <row r="72" spans="1:9" ht="16.149999999999999" customHeight="1" x14ac:dyDescent="0.25"/>
    <row r="73" spans="1:9" customFormat="1" ht="13.5" customHeight="1" x14ac:dyDescent="0.25">
      <c r="A73" s="33"/>
      <c r="B73" s="33"/>
      <c r="D73" s="33"/>
      <c r="E73" s="33"/>
      <c r="F73" s="33"/>
      <c r="G73" s="33"/>
      <c r="H73" s="33"/>
      <c r="I73" s="33"/>
    </row>
    <row r="74" spans="1:9" s="3" customFormat="1" ht="13.5" x14ac:dyDescent="0.25">
      <c r="A74" s="34"/>
      <c r="B74" s="34"/>
      <c r="D74" s="34"/>
      <c r="E74" s="34"/>
      <c r="F74" s="34"/>
      <c r="G74" s="34"/>
      <c r="H74" s="34"/>
      <c r="I74" s="34"/>
    </row>
    <row r="75" spans="1:9" s="3" customFormat="1" ht="13.5" x14ac:dyDescent="0.25">
      <c r="A75" s="34"/>
      <c r="B75" s="34"/>
      <c r="D75" s="34"/>
      <c r="E75" s="34"/>
      <c r="F75" s="34"/>
      <c r="G75" s="34"/>
      <c r="H75" s="34"/>
      <c r="I75" s="34"/>
    </row>
  </sheetData>
  <phoneticPr fontId="2" type="noConversion"/>
  <printOptions horizontalCentered="1"/>
  <pageMargins left="0.23622047244094491" right="0.19685039370078741" top="0.31496062992125984" bottom="0" header="0.19685039370078741" footer="0"/>
  <pageSetup paperSize="9" scale="36" fitToWidth="0" orientation="portrait" r:id="rId1"/>
  <headerFooter alignWithMargins="0">
    <oddFooter>&amp;L&amp;"Aparajita,Regular"&amp;8LEBANON,SAIDA - ALGHADIR AREA - BAYSARIYEH&amp;C
&amp;"Arial,Bold"Page &amp;P&amp;R&amp;"Aparajita,Regular"&amp;8 TEL: 00961 (7)235666/777,   EMAIL:moh.abouraya@gmail.com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409C6D20-6C03-4851-80D6-D39C5F36E9C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1af3243-3dd4-4a8d-8c0d-dd76da1f02a5"/>
    <ds:schemaRef ds:uri="16c05727-aa75-4e4a-9b5f-8a80a1165891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4B9137-A865-42AB-A7CA-5983CE6E10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690AA1-E72A-49B8-9929-DFAB4D632C3F}">
  <ds:schemaRefs>
    <ds:schemaRef ds:uri="http://schemas.microsoft.com/office/2006/metadata/properties"/>
    <ds:schemaRef ds:uri="http://www.w3.org/2000/xmlns/"/>
    <ds:schemaRef ds:uri="71af3243-3dd4-4a8d-8c0d-dd76da1f02a5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TM16410234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925 BOL</vt:lpstr>
      <vt:lpstr>'925 BOL'!Print_Area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2019-06-17T12:54:44Z</dcterms:created>
  <dcterms:modified xsi:type="dcterms:W3CDTF">2025-11-11T14:30:08Z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